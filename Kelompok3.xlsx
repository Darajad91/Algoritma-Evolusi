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TS_AE\Algoritma-Evolusi\"/>
    </mc:Choice>
  </mc:AlternateContent>
  <xr:revisionPtr revIDLastSave="0" documentId="8_{29D668C2-2A9D-4423-BA22-B7325B8A6BBE}" xr6:coauthVersionLast="47" xr6:coauthVersionMax="47" xr10:uidLastSave="{00000000-0000-0000-0000-000000000000}"/>
  <bookViews>
    <workbookView xWindow="-120" yWindow="-120" windowWidth="20730" windowHeight="11040" xr2:uid="{8674C645-DCC6-4F5B-B0C6-D2047F1ACE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L13" i="2"/>
  <c r="N13" i="2"/>
  <c r="O13" i="2"/>
  <c r="L14" i="2"/>
  <c r="M14" i="2"/>
  <c r="N14" i="2"/>
  <c r="O14" i="2"/>
  <c r="L12" i="2"/>
  <c r="O12" i="2"/>
  <c r="N12" i="2"/>
  <c r="M12" i="2"/>
  <c r="J10" i="2"/>
  <c r="I10" i="2"/>
  <c r="H10" i="2"/>
  <c r="G10" i="2"/>
  <c r="H9" i="2"/>
  <c r="J9" i="2"/>
  <c r="I9" i="2"/>
  <c r="G9" i="2"/>
  <c r="J8" i="2"/>
  <c r="I8" i="2"/>
  <c r="H8" i="2"/>
  <c r="G8" i="2"/>
  <c r="E10" i="2"/>
  <c r="D10" i="2"/>
  <c r="C10" i="2"/>
  <c r="B10" i="2"/>
  <c r="E9" i="2"/>
  <c r="D9" i="2"/>
  <c r="B9" i="2"/>
  <c r="C9" i="2"/>
  <c r="E8" i="2"/>
  <c r="D8" i="2"/>
  <c r="C8" i="2"/>
  <c r="B8" i="2"/>
  <c r="Q13" i="1"/>
  <c r="Q14" i="1"/>
  <c r="Q12" i="1"/>
  <c r="O14" i="1"/>
  <c r="N14" i="1"/>
  <c r="L14" i="1"/>
  <c r="M14" i="1"/>
  <c r="O13" i="1"/>
  <c r="N13" i="1"/>
  <c r="M13" i="1"/>
  <c r="L13" i="1"/>
  <c r="O12" i="1"/>
  <c r="N12" i="1"/>
  <c r="M12" i="1"/>
  <c r="L12" i="1"/>
  <c r="G8" i="1"/>
  <c r="J8" i="1"/>
  <c r="I8" i="1"/>
  <c r="H8" i="1"/>
  <c r="E10" i="1"/>
  <c r="D10" i="1"/>
  <c r="C10" i="1"/>
  <c r="B10" i="1"/>
  <c r="E9" i="1"/>
  <c r="J9" i="1" s="1"/>
  <c r="D9" i="1"/>
  <c r="C9" i="1"/>
  <c r="B9" i="1"/>
  <c r="E8" i="1"/>
  <c r="D8" i="1"/>
  <c r="C8" i="1"/>
  <c r="B8" i="1"/>
  <c r="I9" i="1"/>
  <c r="J10" i="1"/>
  <c r="I10" i="1"/>
  <c r="H10" i="1"/>
  <c r="H9" i="1"/>
  <c r="G10" i="1"/>
  <c r="G9" i="1"/>
</calcChain>
</file>

<file path=xl/sharedStrings.xml><?xml version="1.0" encoding="utf-8"?>
<sst xmlns="http://schemas.openxmlformats.org/spreadsheetml/2006/main" count="27" uniqueCount="15">
  <si>
    <t>w</t>
  </si>
  <si>
    <t>pBest</t>
  </si>
  <si>
    <t>x</t>
  </si>
  <si>
    <t>v</t>
  </si>
  <si>
    <t>r1</t>
  </si>
  <si>
    <t>r2</t>
  </si>
  <si>
    <t>Vbaru</t>
  </si>
  <si>
    <t>PCC</t>
  </si>
  <si>
    <t>Rand</t>
  </si>
  <si>
    <t>hasil</t>
  </si>
  <si>
    <t>c1</t>
  </si>
  <si>
    <t>c2</t>
  </si>
  <si>
    <t>partikel baru</t>
  </si>
  <si>
    <t>ITERASI 2</t>
  </si>
  <si>
    <t>ITERASI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</si>
</sst>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FBD1-6E95-4BDC-B7F0-B40AB88459A5}">
  <dimension ref="A1:AA19"/>
  <sheetViews>
    <sheetView tabSelected="1" zoomScale="92" workbookViewId="0">
      <selection activeCell="F14" sqref="F1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G1" t="s">
        <v>2</v>
      </c>
      <c r="L1" t="s">
        <v>3</v>
      </c>
      <c r="Q1" t="s">
        <v>4</v>
      </c>
    </row>
    <row r="2" spans="1:27" x14ac:dyDescent="0.25">
      <c r="A2">
        <v>0.5</v>
      </c>
      <c r="B2" s="1">
        <v>0</v>
      </c>
      <c r="C2" s="1">
        <v>0</v>
      </c>
      <c r="D2" s="1">
        <v>1</v>
      </c>
      <c r="E2" s="1">
        <v>0</v>
      </c>
      <c r="F2" s="1">
        <v>19</v>
      </c>
      <c r="G2">
        <v>0</v>
      </c>
      <c r="H2">
        <v>0</v>
      </c>
      <c r="I2">
        <v>1</v>
      </c>
      <c r="J2">
        <v>0</v>
      </c>
      <c r="L2">
        <v>0</v>
      </c>
      <c r="M2">
        <v>0</v>
      </c>
      <c r="N2">
        <v>0</v>
      </c>
      <c r="O2">
        <v>0</v>
      </c>
      <c r="Q2">
        <v>0.2</v>
      </c>
      <c r="R2">
        <v>0.4</v>
      </c>
      <c r="S2">
        <v>0.6</v>
      </c>
      <c r="T2">
        <v>0.8</v>
      </c>
      <c r="X2" s="1"/>
      <c r="Y2" s="1"/>
      <c r="Z2" s="1"/>
      <c r="AA2" s="1"/>
    </row>
    <row r="3" spans="1:27" x14ac:dyDescent="0.25">
      <c r="B3" s="1">
        <v>1</v>
      </c>
      <c r="C3" s="1">
        <v>0</v>
      </c>
      <c r="D3" s="1">
        <v>0</v>
      </c>
      <c r="E3" s="1">
        <v>0</v>
      </c>
      <c r="F3" s="1">
        <v>19</v>
      </c>
      <c r="G3">
        <v>1</v>
      </c>
      <c r="H3">
        <v>0</v>
      </c>
      <c r="I3">
        <v>0</v>
      </c>
      <c r="J3">
        <v>0</v>
      </c>
      <c r="L3">
        <v>0</v>
      </c>
      <c r="M3">
        <v>0</v>
      </c>
      <c r="N3">
        <v>0</v>
      </c>
      <c r="O3">
        <v>0</v>
      </c>
      <c r="Q3" t="s">
        <v>5</v>
      </c>
      <c r="X3" s="1"/>
      <c r="Y3" s="1"/>
      <c r="Z3" s="1"/>
      <c r="AA3" s="1"/>
    </row>
    <row r="4" spans="1:27" x14ac:dyDescent="0.25">
      <c r="B4" s="1">
        <v>1</v>
      </c>
      <c r="C4" s="1">
        <v>1</v>
      </c>
      <c r="D4" s="1">
        <v>0</v>
      </c>
      <c r="E4" s="1">
        <v>0</v>
      </c>
      <c r="F4" s="1">
        <v>59</v>
      </c>
      <c r="G4">
        <v>1</v>
      </c>
      <c r="H4">
        <v>1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Q4">
        <v>0.9</v>
      </c>
      <c r="R4">
        <v>0.7</v>
      </c>
      <c r="S4">
        <v>0.5</v>
      </c>
      <c r="T4">
        <v>0.3</v>
      </c>
      <c r="X4" s="1"/>
      <c r="Y4" s="1"/>
      <c r="Z4" s="1"/>
      <c r="AA4" s="1"/>
    </row>
    <row r="5" spans="1:27" x14ac:dyDescent="0.25">
      <c r="A5" t="s">
        <v>10</v>
      </c>
      <c r="B5">
        <v>1</v>
      </c>
    </row>
    <row r="6" spans="1:27" x14ac:dyDescent="0.25">
      <c r="A6" t="s">
        <v>11</v>
      </c>
      <c r="B6" s="1">
        <v>1</v>
      </c>
    </row>
    <row r="7" spans="1:27" x14ac:dyDescent="0.25">
      <c r="A7" t="s">
        <v>6</v>
      </c>
      <c r="G7" t="s">
        <v>7</v>
      </c>
      <c r="K7" t="s">
        <v>8</v>
      </c>
    </row>
    <row r="8" spans="1:27" x14ac:dyDescent="0.25">
      <c r="B8">
        <f>($A$2)*(L2)+($B$5)*(Q2)*(B2-G2)+$B$6*Q4*(G4-G2)</f>
        <v>0.9</v>
      </c>
      <c r="C8">
        <f>($A$2)*(M2)+($B$5)*(R2)*(C2-H2)+$B$6*R4*(H4-H2)</f>
        <v>0.7</v>
      </c>
      <c r="D8">
        <f>($A$2)*(N2)+($B$5)*(S2)*(D2-I2)+$B$6*S4*(I4-I2)</f>
        <v>-0.5</v>
      </c>
      <c r="E8">
        <f>($A$2)*(O2)+($B$5)*(T2)*(E2-J2)+$B$6*T4*(J4-J2)</f>
        <v>0</v>
      </c>
      <c r="G8" s="3">
        <f>1/(1+(EXP(-B8)))</f>
        <v>0.71094950262500389</v>
      </c>
      <c r="H8" s="3">
        <f>1/(1+(EXP(-C8)))</f>
        <v>0.66818777216816616</v>
      </c>
      <c r="I8" s="3">
        <f>1/(1+(EXP(-D8)))</f>
        <v>0.37754066879814541</v>
      </c>
      <c r="J8" s="3">
        <f>1/(1+(EXP(-E8)))</f>
        <v>0.5</v>
      </c>
      <c r="L8" s="3">
        <v>0.7</v>
      </c>
      <c r="M8" s="3">
        <v>0.2</v>
      </c>
      <c r="N8" s="3">
        <v>0.8</v>
      </c>
      <c r="O8" s="3">
        <v>0.4</v>
      </c>
    </row>
    <row r="9" spans="1:27" x14ac:dyDescent="0.25">
      <c r="B9">
        <f>($A$2)*(L3)+($B$5)*(Q2)*(B3-G3)+$B$6*Q4*(G4-G3)</f>
        <v>0</v>
      </c>
      <c r="C9">
        <f>($A$2)*(M3)+($B$5)*(R2)*(C3-H3)+$B$6*R4*(H4-H3)</f>
        <v>0.7</v>
      </c>
      <c r="D9">
        <f>($A$2)*(N3)+($B$5)*(S2)*(D3-I3)+$B$6*S4*(I4-I3)</f>
        <v>0</v>
      </c>
      <c r="E9">
        <f>($A$2)*(O3)+($B$5)*(T2)*(E3-J3)+$B$6*T4*(J4-J3)</f>
        <v>0</v>
      </c>
      <c r="G9" s="3">
        <f t="shared" ref="G9:G10" si="0">1/(1+(EXP(-B9)))</f>
        <v>0.5</v>
      </c>
      <c r="H9" s="3">
        <f t="shared" ref="H8:J10" si="1">1/(1+(EXP(-C9)))</f>
        <v>0.66818777216816616</v>
      </c>
      <c r="I9" s="3">
        <f t="shared" si="1"/>
        <v>0.5</v>
      </c>
      <c r="J9" s="3">
        <f t="shared" si="1"/>
        <v>0.5</v>
      </c>
      <c r="L9" s="3">
        <v>0.7</v>
      </c>
      <c r="M9" s="3">
        <v>0.2</v>
      </c>
      <c r="N9" s="3">
        <v>0.8</v>
      </c>
      <c r="O9" s="3">
        <v>0.4</v>
      </c>
    </row>
    <row r="10" spans="1:27" x14ac:dyDescent="0.25">
      <c r="B10">
        <f>($A$2)*(L4)+($B$5)*(Q2)*(B4-G4)+$B$6*Q4*(G4-G4)</f>
        <v>0</v>
      </c>
      <c r="C10">
        <f>($A$2)*(M4)+($B$5)*(R2)*(C4-H4)+$B$6*R4*(H4-H4)</f>
        <v>0</v>
      </c>
      <c r="D10">
        <f>($A$2)*(N4)+($B$5)*(S2)*(D4-I4)+$B$6*S4*(I4-I4)</f>
        <v>0</v>
      </c>
      <c r="E10">
        <f>($A$2)*(O4)+($B$5)*(T2)*(E4-J4)+$B$6*T4*(J4-J4)</f>
        <v>0</v>
      </c>
      <c r="G10" s="3">
        <f t="shared" si="0"/>
        <v>0.5</v>
      </c>
      <c r="H10" s="3">
        <f t="shared" si="1"/>
        <v>0.5</v>
      </c>
      <c r="I10" s="3">
        <f t="shared" si="1"/>
        <v>0.5</v>
      </c>
      <c r="J10" s="3">
        <f t="shared" si="1"/>
        <v>0.5</v>
      </c>
      <c r="L10" s="3">
        <v>0.7</v>
      </c>
      <c r="M10" s="3">
        <v>0.2</v>
      </c>
      <c r="N10" s="3">
        <v>0.8</v>
      </c>
      <c r="O10" s="3">
        <v>0.4</v>
      </c>
    </row>
    <row r="11" spans="1:27" x14ac:dyDescent="0.25">
      <c r="G11" s="2"/>
      <c r="H11" s="2"/>
      <c r="I11" s="2"/>
      <c r="J11" s="2"/>
      <c r="K11" t="s">
        <v>9</v>
      </c>
    </row>
    <row r="12" spans="1:27" x14ac:dyDescent="0.25">
      <c r="G12" s="2"/>
      <c r="H12" s="2"/>
      <c r="I12" s="2"/>
      <c r="J12" s="2"/>
      <c r="L12">
        <f>IF(L8 &lt; G8, 1, 0)</f>
        <v>1</v>
      </c>
      <c r="M12">
        <f>IF(M8 &lt; H8, 1, 0)</f>
        <v>1</v>
      </c>
      <c r="N12">
        <f>IF(N8 &lt; I8, 1, 0)</f>
        <v>0</v>
      </c>
      <c r="O12">
        <f>IF(O8 &lt; J8, 1, 0)</f>
        <v>1</v>
      </c>
      <c r="P12">
        <v>13</v>
      </c>
      <c r="Q12">
        <f>(P12-5)^2-10</f>
        <v>54</v>
      </c>
    </row>
    <row r="13" spans="1:27" x14ac:dyDescent="0.25">
      <c r="F13" t="s">
        <v>14</v>
      </c>
      <c r="G13" s="2"/>
      <c r="H13" s="2"/>
      <c r="I13" s="2"/>
      <c r="J13" s="2"/>
      <c r="L13">
        <f>IF(L9 &lt; G9, 1, 0)</f>
        <v>0</v>
      </c>
      <c r="M13">
        <f>IF(M9 &lt; H9, 1, 0)</f>
        <v>1</v>
      </c>
      <c r="N13">
        <f>IF(N9 &lt; I9, 1, 0)</f>
        <v>0</v>
      </c>
      <c r="O13">
        <f>IF(O9 &lt; J9, 1, 0)</f>
        <v>1</v>
      </c>
      <c r="P13">
        <v>5</v>
      </c>
      <c r="Q13">
        <f>(P13-5)^2-10</f>
        <v>-10</v>
      </c>
    </row>
    <row r="14" spans="1:27" x14ac:dyDescent="0.25">
      <c r="G14" s="2"/>
      <c r="H14" s="2"/>
      <c r="I14" s="2"/>
      <c r="J14" s="2"/>
      <c r="L14">
        <f>IF(L10 &lt; G10, 1, 0)</f>
        <v>0</v>
      </c>
      <c r="M14">
        <f>IF(M10 &lt; H10, 1, 0)</f>
        <v>1</v>
      </c>
      <c r="N14">
        <f>IF(N10 &lt; I10, 1, 0)</f>
        <v>0</v>
      </c>
      <c r="O14">
        <f>IF(O10 &lt; J10, 1, 0)</f>
        <v>1</v>
      </c>
      <c r="P14">
        <v>5</v>
      </c>
      <c r="Q14">
        <f t="shared" ref="Q13:Q14" si="2">(P14-5)^2-10</f>
        <v>-10</v>
      </c>
    </row>
    <row r="16" spans="1:27" x14ac:dyDescent="0.25">
      <c r="L16" t="s">
        <v>12</v>
      </c>
    </row>
    <row r="17" spans="12:15" x14ac:dyDescent="0.25">
      <c r="L17">
        <v>1</v>
      </c>
      <c r="M17">
        <v>1</v>
      </c>
      <c r="N17">
        <v>0</v>
      </c>
      <c r="O17">
        <v>1</v>
      </c>
    </row>
    <row r="18" spans="12:15" x14ac:dyDescent="0.25">
      <c r="L18">
        <v>1</v>
      </c>
      <c r="M18">
        <v>0</v>
      </c>
      <c r="N18">
        <v>0</v>
      </c>
      <c r="O18">
        <v>0</v>
      </c>
    </row>
    <row r="19" spans="12:15" x14ac:dyDescent="0.25">
      <c r="L19">
        <v>1</v>
      </c>
      <c r="M19">
        <v>1</v>
      </c>
      <c r="N19">
        <v>0</v>
      </c>
      <c r="O1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4F2D-93D0-4A66-93E6-474D612D7B11}">
  <dimension ref="A1:T14"/>
  <sheetViews>
    <sheetView workbookViewId="0">
      <selection activeCell="T18" sqref="T1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G1" t="s">
        <v>2</v>
      </c>
      <c r="L1" t="s">
        <v>3</v>
      </c>
      <c r="Q1" t="s">
        <v>4</v>
      </c>
    </row>
    <row r="2" spans="1:20" x14ac:dyDescent="0.25">
      <c r="A2">
        <v>0.5</v>
      </c>
      <c r="B2">
        <v>1</v>
      </c>
      <c r="C2">
        <v>1</v>
      </c>
      <c r="D2">
        <v>0</v>
      </c>
      <c r="E2">
        <v>1</v>
      </c>
      <c r="G2">
        <v>1</v>
      </c>
      <c r="H2">
        <v>1</v>
      </c>
      <c r="I2">
        <v>0</v>
      </c>
      <c r="J2">
        <v>1</v>
      </c>
      <c r="L2">
        <v>0.9</v>
      </c>
      <c r="M2">
        <v>0.7</v>
      </c>
      <c r="N2">
        <v>-0.5</v>
      </c>
      <c r="O2">
        <v>0</v>
      </c>
      <c r="Q2">
        <v>0.2</v>
      </c>
      <c r="R2">
        <v>0.4</v>
      </c>
      <c r="S2">
        <v>0.6</v>
      </c>
      <c r="T2">
        <v>0.8</v>
      </c>
    </row>
    <row r="3" spans="1:20" x14ac:dyDescent="0.25">
      <c r="B3">
        <v>1</v>
      </c>
      <c r="C3">
        <v>0</v>
      </c>
      <c r="D3">
        <v>0</v>
      </c>
      <c r="E3">
        <v>0</v>
      </c>
      <c r="G3">
        <v>1</v>
      </c>
      <c r="H3">
        <v>0</v>
      </c>
      <c r="I3">
        <v>0</v>
      </c>
      <c r="J3">
        <v>0</v>
      </c>
      <c r="L3">
        <v>0</v>
      </c>
      <c r="M3">
        <v>0.7</v>
      </c>
      <c r="N3">
        <v>0</v>
      </c>
      <c r="O3">
        <v>0</v>
      </c>
      <c r="Q3" t="s">
        <v>5</v>
      </c>
    </row>
    <row r="4" spans="1:20" x14ac:dyDescent="0.25">
      <c r="B4">
        <v>1</v>
      </c>
      <c r="C4">
        <v>1</v>
      </c>
      <c r="D4">
        <v>0</v>
      </c>
      <c r="E4">
        <v>0</v>
      </c>
      <c r="G4">
        <v>1</v>
      </c>
      <c r="H4">
        <v>1</v>
      </c>
      <c r="I4">
        <v>0</v>
      </c>
      <c r="J4">
        <v>0</v>
      </c>
      <c r="L4">
        <v>0</v>
      </c>
      <c r="M4">
        <v>0</v>
      </c>
      <c r="N4">
        <v>0</v>
      </c>
      <c r="O4">
        <v>0</v>
      </c>
      <c r="Q4">
        <v>0.9</v>
      </c>
      <c r="R4">
        <v>0.7</v>
      </c>
      <c r="S4">
        <v>0.5</v>
      </c>
      <c r="T4">
        <v>0.3</v>
      </c>
    </row>
    <row r="5" spans="1:20" x14ac:dyDescent="0.25">
      <c r="A5" t="s">
        <v>10</v>
      </c>
      <c r="B5">
        <v>1</v>
      </c>
    </row>
    <row r="6" spans="1:20" x14ac:dyDescent="0.25">
      <c r="A6" t="s">
        <v>11</v>
      </c>
      <c r="B6">
        <v>1</v>
      </c>
    </row>
    <row r="7" spans="1:20" x14ac:dyDescent="0.25">
      <c r="A7" t="s">
        <v>6</v>
      </c>
      <c r="G7" t="s">
        <v>7</v>
      </c>
      <c r="K7" t="s">
        <v>8</v>
      </c>
    </row>
    <row r="8" spans="1:20" x14ac:dyDescent="0.25">
      <c r="B8">
        <f>($A$2)*(L2)+($B$5)*(Q2)*(B2-G2)+$B$6*Q4*(G4-G2)</f>
        <v>0.45</v>
      </c>
      <c r="C8">
        <f>($A$2)*(M2)+($B$5)*(R2)*(C2-H2)+$B$5*R4*(H4-H2)</f>
        <v>0.35</v>
      </c>
      <c r="D8">
        <f>($A$2)*(N2)+($B$5)*(S2)*(D2-I2)+$B$5*S4*(I4-I2)</f>
        <v>-0.25</v>
      </c>
      <c r="E8">
        <f>($A$2)*(O2)+($B$5)*(T2)*(E2-J2)+$B$5*T4*(J4-J2)</f>
        <v>-0.3</v>
      </c>
      <c r="G8" s="3">
        <f>1/(1+(EXP(-B8)))</f>
        <v>0.61063923394922204</v>
      </c>
      <c r="H8" s="3">
        <f>1/(1+(EXP(-C8)))</f>
        <v>0.58661757891733013</v>
      </c>
      <c r="I8" s="3">
        <f>1/(1+(EXP(-D8)))</f>
        <v>0.43782349911420193</v>
      </c>
      <c r="J8" s="3">
        <f>1/(1+(EXP(-E8)))</f>
        <v>0.42555748318834102</v>
      </c>
      <c r="L8" s="3">
        <v>0.7</v>
      </c>
      <c r="M8" s="3">
        <v>0.2</v>
      </c>
      <c r="N8" s="3">
        <v>0.8</v>
      </c>
      <c r="O8" s="3">
        <v>0.4</v>
      </c>
    </row>
    <row r="9" spans="1:20" x14ac:dyDescent="0.25">
      <c r="B9">
        <f>($A$2)*(L3)+($B$5)*(Q2)*(B3-G3)+$B$6*Q4*(G4-G3)</f>
        <v>0</v>
      </c>
      <c r="C9">
        <f>($A$2)*(M3)+($B$5)*(R2)*(C3-H3)+$B$6*R4*(H4-H3)</f>
        <v>1.0499999999999998</v>
      </c>
      <c r="D9">
        <f>($A$2)*(N3)+($B$5)*(S2)*(D3-I3)+$B$6*S4*(I4-I3)</f>
        <v>0</v>
      </c>
      <c r="E9">
        <f>($A$2)*(O3)+($B$5)*(T2)*(E3-J3)+$B$6*T4*(J4-J3)</f>
        <v>0</v>
      </c>
      <c r="G9" s="3">
        <f>1/(1+(EXP(-B9)))</f>
        <v>0.5</v>
      </c>
      <c r="H9" s="3">
        <f>1/(1+(EXP(-C9)))</f>
        <v>0.74077489918215389</v>
      </c>
      <c r="I9" s="3">
        <f>1/(1+(EXP(-D9)))</f>
        <v>0.5</v>
      </c>
      <c r="J9" s="3">
        <f>1/(1+(EXP(-E9)))</f>
        <v>0.5</v>
      </c>
      <c r="L9" s="3">
        <v>0.7</v>
      </c>
      <c r="M9" s="3">
        <v>0.2</v>
      </c>
      <c r="N9" s="3">
        <v>0.8</v>
      </c>
      <c r="O9" s="3">
        <v>0.4</v>
      </c>
    </row>
    <row r="10" spans="1:20" x14ac:dyDescent="0.25">
      <c r="B10">
        <f>($A$2)*(L4)+($B$5)*(Q2)*(B4-G4)+$B$6*Q4*(G4-G4)</f>
        <v>0</v>
      </c>
      <c r="C10">
        <f>($A$2)*(M4)+($B$5)*(R2)*(C4-H4)+$B$6*R4*(H4-H4)</f>
        <v>0</v>
      </c>
      <c r="D10">
        <f>($A$2)*(N4)+($B$5)*(S2)*(D4-I4)+$B$6*S4*(I4-I4)</f>
        <v>0</v>
      </c>
      <c r="E10">
        <f>($A$2)*(O4)+($B$5)*(T2)*(E4-J4)+$B$6*T4*(J4-J4)</f>
        <v>0</v>
      </c>
      <c r="G10" s="3">
        <f>1/(1+(EXP(-B10)))</f>
        <v>0.5</v>
      </c>
      <c r="H10" s="3">
        <f>1/(1+(EXP(-C10)))</f>
        <v>0.5</v>
      </c>
      <c r="I10" s="3">
        <f>1/(1+(EXP(-D10)))</f>
        <v>0.5</v>
      </c>
      <c r="J10" s="3">
        <f>1/(1+(EXP(-E10)))</f>
        <v>0.5</v>
      </c>
      <c r="L10" s="3">
        <v>0.7</v>
      </c>
      <c r="M10" s="3">
        <v>0.2</v>
      </c>
      <c r="N10" s="3">
        <v>0.8</v>
      </c>
      <c r="O10" s="3">
        <v>0.4</v>
      </c>
    </row>
    <row r="11" spans="1:20" x14ac:dyDescent="0.25">
      <c r="G11" s="2"/>
      <c r="H11" s="2"/>
      <c r="I11" s="2"/>
      <c r="J11" s="2"/>
      <c r="K11" t="s">
        <v>9</v>
      </c>
    </row>
    <row r="12" spans="1:20" x14ac:dyDescent="0.25">
      <c r="G12" s="2"/>
      <c r="H12" s="2"/>
      <c r="I12" s="2"/>
      <c r="J12" s="2"/>
      <c r="L12">
        <f>IF(L8 &lt; G8, 1, 0)</f>
        <v>0</v>
      </c>
      <c r="M12">
        <f>IF(M8 &lt; H8, 1, 0)</f>
        <v>1</v>
      </c>
      <c r="N12">
        <f>IF(N8 &lt; I8, 1, 0)</f>
        <v>0</v>
      </c>
      <c r="O12">
        <f>IF(O8 &lt; J8, 1, 0)</f>
        <v>1</v>
      </c>
      <c r="P12">
        <v>5</v>
      </c>
    </row>
    <row r="13" spans="1:20" x14ac:dyDescent="0.25">
      <c r="F13" t="s">
        <v>13</v>
      </c>
      <c r="G13" s="2"/>
      <c r="H13" s="2"/>
      <c r="I13" s="2"/>
      <c r="J13" s="2"/>
      <c r="L13">
        <f t="shared" ref="L13:O13" si="0">IF(L9 &lt; G9, 1, 0)</f>
        <v>0</v>
      </c>
      <c r="M13">
        <f>IF(M9 &lt; H9, 1, 0)</f>
        <v>1</v>
      </c>
      <c r="N13">
        <f t="shared" si="0"/>
        <v>0</v>
      </c>
      <c r="O13">
        <f t="shared" si="0"/>
        <v>1</v>
      </c>
      <c r="P13">
        <v>5</v>
      </c>
    </row>
    <row r="14" spans="1:20" x14ac:dyDescent="0.25">
      <c r="G14" s="2"/>
      <c r="H14" s="2"/>
      <c r="I14" s="2"/>
      <c r="J14" s="2"/>
      <c r="L14">
        <f t="shared" ref="L14:O14" si="1">IF(L10 &lt; G10, 1, 0)</f>
        <v>0</v>
      </c>
      <c r="M14">
        <f t="shared" si="1"/>
        <v>1</v>
      </c>
      <c r="N14">
        <f t="shared" si="1"/>
        <v>0</v>
      </c>
      <c r="O14">
        <f t="shared" si="1"/>
        <v>1</v>
      </c>
      <c r="P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Setya</dc:creator>
  <cp:lastModifiedBy>Jonathan Setya</cp:lastModifiedBy>
  <cp:lastPrinted>2025-11-19T10:22:46Z</cp:lastPrinted>
  <dcterms:created xsi:type="dcterms:W3CDTF">2025-11-19T06:35:52Z</dcterms:created>
  <dcterms:modified xsi:type="dcterms:W3CDTF">2025-11-19T10:25:29Z</dcterms:modified>
</cp:coreProperties>
</file>